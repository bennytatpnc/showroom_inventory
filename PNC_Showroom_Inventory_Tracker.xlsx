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ncorp-my.sharepoint.com/personal/bent_pncorp_com/Documents/Desktop/Showroom Inventory/piedmont-showroom-prototype/"/>
    </mc:Choice>
  </mc:AlternateContent>
  <xr:revisionPtr revIDLastSave="33" documentId="8_{B9399D65-3203-4713-B00C-14B8B86699B2}" xr6:coauthVersionLast="47" xr6:coauthVersionMax="47" xr10:uidLastSave="{1350561B-6D53-457D-92A7-FDE354A896F4}"/>
  <bookViews>
    <workbookView xWindow="-108" yWindow="-108" windowWidth="23256" windowHeight="13896" tabRatio="500" xr2:uid="{00000000-000D-0000-FFFF-FFFF00000000}"/>
  </bookViews>
  <sheets>
    <sheet name="Showroom Inventory" sheetId="1" r:id="rId1"/>
    <sheet name="Lis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" i="1" l="1"/>
  <c r="M9" i="1"/>
  <c r="M8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</calcChain>
</file>

<file path=xl/sharedStrings.xml><?xml version="1.0" encoding="utf-8"?>
<sst xmlns="http://schemas.openxmlformats.org/spreadsheetml/2006/main" count="98" uniqueCount="78">
  <si>
    <t>Piedmont Showroom Equipment — Inventory Template</t>
  </si>
  <si>
    <t>One row per unit. Fill the yellow cells. The grey row is a filled-in example — delete it before you go live.</t>
  </si>
  <si>
    <t>KEY:</t>
  </si>
  <si>
    <t>Yellow = you fill in</t>
  </si>
  <si>
    <t>Grey = example row</t>
  </si>
  <si>
    <t>Blue = auto-calculated, don't edit</t>
  </si>
  <si>
    <t>Photo naming: save each photo as  [Unit ID].jpg  (e.g. lantech-400.jpg) so it's never ambiguous.</t>
  </si>
  <si>
    <t>Status drives the site: Available / Pending show on the page; Rented / Sold hide it (see 'Live on Site?').</t>
  </si>
  <si>
    <t>Unit ID</t>
  </si>
  <si>
    <t>Name</t>
  </si>
  <si>
    <t>Category</t>
  </si>
  <si>
    <t>Spec 1 Label</t>
  </si>
  <si>
    <t>Spec 1 Value</t>
  </si>
  <si>
    <t>Spec 2 Label</t>
  </si>
  <si>
    <t>Spec 2 Value</t>
  </si>
  <si>
    <t>Spec 3 Label</t>
  </si>
  <si>
    <t>Spec 3 Value</t>
  </si>
  <si>
    <t>Condition</t>
  </si>
  <si>
    <t>Status</t>
  </si>
  <si>
    <t>Buy Price ($)</t>
  </si>
  <si>
    <t>Rent /mo ($)</t>
  </si>
  <si>
    <t>Rent-to-Own Mo.</t>
  </si>
  <si>
    <t>Qty Avail.</t>
  </si>
  <si>
    <t>Photo Filename</t>
  </si>
  <si>
    <t>Live on Site?</t>
  </si>
  <si>
    <t>Contact Link</t>
  </si>
  <si>
    <t>demo-example-unit</t>
  </si>
  <si>
    <t>(EXAMPLE) Acme X100 Case Sealer</t>
  </si>
  <si>
    <t>Case Sealing</t>
  </si>
  <si>
    <t>Case rate</t>
  </si>
  <si>
    <t>30 cpm</t>
  </si>
  <si>
    <t>Case width</t>
  </si>
  <si>
    <t>4"–18"</t>
  </si>
  <si>
    <t>Tape</t>
  </si>
  <si>
    <t>2" or 3"</t>
  </si>
  <si>
    <t>Demo — excellent</t>
  </si>
  <si>
    <t>Available</t>
  </si>
  <si>
    <t>demo-example-unit.jpg</t>
  </si>
  <si>
    <t>texwrap-tls-2219</t>
  </si>
  <si>
    <t>TexWrap TLS-2219 L-Sealer &amp; Shrink System</t>
  </si>
  <si>
    <t>Shrink Wrapping &amp; Bundling</t>
  </si>
  <si>
    <t>Seal area</t>
  </si>
  <si>
    <t>22" × 19"</t>
  </si>
  <si>
    <t>Throughput</t>
  </si>
  <si>
    <t>up to 20 pkg/min</t>
  </si>
  <si>
    <t>Carton/Case/Tray Erecting</t>
  </si>
  <si>
    <t>Bagging</t>
  </si>
  <si>
    <t>Case Packing</t>
  </si>
  <si>
    <t>Demo — good</t>
  </si>
  <si>
    <t>Pending</t>
  </si>
  <si>
    <t>Used — refurbished</t>
  </si>
  <si>
    <t>Rented</t>
  </si>
  <si>
    <t>Used — as-is</t>
  </si>
  <si>
    <t>Sold</t>
  </si>
  <si>
    <t>Clamshell &amp; Blister Sealing</t>
  </si>
  <si>
    <t>New / unused</t>
  </si>
  <si>
    <t>Conveying</t>
  </si>
  <si>
    <t>Labeling &amp; Coding</t>
  </si>
  <si>
    <t>Shrink Sleeves</t>
  </si>
  <si>
    <t>Stretch Wrapping</t>
  </si>
  <si>
    <t>Strapping</t>
  </si>
  <si>
    <t>Void Fill</t>
  </si>
  <si>
    <t xml:space="preserve">Film Types </t>
  </si>
  <si>
    <t>PE or POF</t>
  </si>
  <si>
    <t>garrido-601-l-bar-sealer</t>
  </si>
  <si>
    <t>Garrido 601 L-Bar Sealer</t>
  </si>
  <si>
    <t>24"x14"</t>
  </si>
  <si>
    <t>Up to 8 pkg/min</t>
  </si>
  <si>
    <t>sharp-sx</t>
  </si>
  <si>
    <t>Sharp SX Tabletop Bagger</t>
  </si>
  <si>
    <t>Bag Sizes</t>
  </si>
  <si>
    <t>2"-11" Wide x 4"-32" Long</t>
  </si>
  <si>
    <t>Up to 20 bags/min</t>
  </si>
  <si>
    <t>Printer</t>
  </si>
  <si>
    <t>4" Wide Print Direct on Bag</t>
  </si>
  <si>
    <t>sharp-sx.jpg</t>
  </si>
  <si>
    <t>texwrap-tls-2219.jpg</t>
  </si>
  <si>
    <t>garrido-601-l-bar-sealer.jpg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</si>
</sst>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C636B"/>
      <name val="Arial"/>
      <charset val="1"/>
    </font>
    <font>
      <b/>
      <sz val="10"/>
      <color rgb="FF1F3864"/>
      <name val="Arial"/>
      <charset val="1"/>
    </font>
    <font>
      <sz val="10"/>
      <color rgb="FF222222"/>
      <name val="Arial"/>
      <charset val="1"/>
    </font>
    <font>
      <sz val="9"/>
      <color rgb="FF5C636B"/>
      <name val="Arial"/>
      <charset val="1"/>
    </font>
    <font>
      <b/>
      <sz val="10"/>
      <color rgb="FFFFFFFF"/>
      <name val="Arial"/>
      <charset val="1"/>
    </font>
    <font>
      <i/>
      <sz val="10"/>
      <color rgb="FF7A7468"/>
      <name val="Arial"/>
      <charset val="1"/>
    </font>
    <font>
      <i/>
      <sz val="10"/>
      <color rgb="FF22222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B2"/>
        <bgColor rgb="FFE9E7E2"/>
      </patternFill>
    </fill>
    <fill>
      <patternFill patternType="solid">
        <fgColor rgb="FFE9E7E2"/>
        <bgColor rgb="FFDDE6F0"/>
      </patternFill>
    </fill>
    <fill>
      <patternFill patternType="solid">
        <fgColor rgb="FFDDE6F0"/>
        <bgColor rgb="FFE9E7E2"/>
      </patternFill>
    </fill>
    <fill>
      <patternFill patternType="solid">
        <fgColor rgb="FF1F3864"/>
        <bgColor rgb="FF333399"/>
      </patternFill>
    </fill>
  </fills>
  <borders count="2">
    <border>
      <left/>
      <right/>
      <top/>
      <bottom/>
      <diagonal/>
    </border>
    <border>
      <left style="thin">
        <color rgb="FFD5D3CD"/>
      </left>
      <right style="thin">
        <color rgb="FFD5D3CD"/>
      </right>
      <top style="thin">
        <color rgb="FFD5D3CD"/>
      </top>
      <bottom style="thin">
        <color rgb="FFD5D3C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164" fontId="7" fillId="3" borderId="1" xfId="0" applyNumberFormat="1" applyFont="1" applyFill="1" applyBorder="1"/>
    <xf numFmtId="1" fontId="7" fillId="3" borderId="1" xfId="0" applyNumberFormat="1" applyFont="1" applyFill="1" applyBorder="1"/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4" fillId="0" borderId="1" xfId="0" applyFont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1" fontId="4" fillId="0" borderId="1" xfId="0" applyNumberFormat="1" applyFont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164" fontId="4" fillId="0" borderId="1" xfId="0" applyNumberFormat="1" applyFont="1" applyBorder="1"/>
    <xf numFmtId="0" fontId="4" fillId="4" borderId="1" xfId="0" applyFont="1" applyFill="1" applyBorder="1"/>
    <xf numFmtId="0" fontId="6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468"/>
      <rgbColor rgb="FF9999FF"/>
      <rgbColor rgb="FF993366"/>
      <rgbColor rgb="FFE9E7E2"/>
      <rgbColor rgb="FFDDE6F0"/>
      <rgbColor rgb="FF660066"/>
      <rgbColor rgb="FFFF8080"/>
      <rgbColor rgb="FF0066CC"/>
      <rgbColor rgb="FFD5D3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36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J1" zoomScaleNormal="100" workbookViewId="0">
      <pane ySplit="6" topLeftCell="A7" activePane="bottomLeft" state="frozen"/>
      <selection pane="bottomLeft" activeCell="P14" sqref="P14"/>
    </sheetView>
  </sheetViews>
  <sheetFormatPr defaultColWidth="8.6640625" defaultRowHeight="14.4" x14ac:dyDescent="0.3"/>
  <cols>
    <col min="1" max="1" width="22" customWidth="1"/>
    <col min="2" max="2" width="39.109375" bestFit="1" customWidth="1"/>
    <col min="3" max="3" width="26" customWidth="1"/>
    <col min="4" max="4" width="14" customWidth="1"/>
    <col min="5" max="9" width="16" customWidth="1"/>
    <col min="10" max="10" width="18" customWidth="1"/>
    <col min="11" max="11" width="12" customWidth="1"/>
    <col min="12" max="13" width="13" customWidth="1"/>
    <col min="14" max="14" width="14" customWidth="1"/>
    <col min="15" max="15" width="11" customWidth="1"/>
    <col min="16" max="16" width="22" customWidth="1"/>
    <col min="17" max="17" width="12" customWidth="1"/>
    <col min="18" max="18" width="46" customWidth="1"/>
  </cols>
  <sheetData>
    <row r="1" spans="1:18" ht="19.2" x14ac:dyDescent="0.35">
      <c r="A1" s="1" t="s">
        <v>0</v>
      </c>
    </row>
    <row r="2" spans="1:18" x14ac:dyDescent="0.3">
      <c r="A2" s="2" t="s">
        <v>1</v>
      </c>
    </row>
    <row r="3" spans="1:18" x14ac:dyDescent="0.3">
      <c r="A3" s="3" t="s">
        <v>2</v>
      </c>
      <c r="B3" s="4" t="s">
        <v>3</v>
      </c>
      <c r="D3" s="5" t="s">
        <v>4</v>
      </c>
      <c r="F3" s="6" t="s">
        <v>5</v>
      </c>
    </row>
    <row r="4" spans="1:18" x14ac:dyDescent="0.3">
      <c r="A4" s="7" t="s">
        <v>6</v>
      </c>
    </row>
    <row r="5" spans="1:18" x14ac:dyDescent="0.3">
      <c r="A5" s="7" t="s">
        <v>7</v>
      </c>
    </row>
    <row r="6" spans="1:18" ht="26.4" x14ac:dyDescent="0.3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  <c r="I6" s="8" t="s">
        <v>16</v>
      </c>
      <c r="J6" s="8" t="s">
        <v>17</v>
      </c>
      <c r="K6" s="8" t="s">
        <v>18</v>
      </c>
      <c r="L6" s="8" t="s">
        <v>19</v>
      </c>
      <c r="M6" s="8" t="s">
        <v>20</v>
      </c>
      <c r="N6" s="8" t="s">
        <v>21</v>
      </c>
      <c r="O6" s="8" t="s">
        <v>22</v>
      </c>
      <c r="P6" s="8" t="s">
        <v>23</v>
      </c>
      <c r="Q6" s="8" t="s">
        <v>24</v>
      </c>
      <c r="R6" s="8" t="s">
        <v>25</v>
      </c>
    </row>
    <row r="7" spans="1:18" x14ac:dyDescent="0.3">
      <c r="A7" s="9" t="s">
        <v>26</v>
      </c>
      <c r="B7" s="9" t="s">
        <v>27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9" t="s">
        <v>33</v>
      </c>
      <c r="I7" s="9" t="s">
        <v>34</v>
      </c>
      <c r="J7" s="9" t="s">
        <v>35</v>
      </c>
      <c r="K7" s="9" t="s">
        <v>36</v>
      </c>
      <c r="L7" s="10">
        <v>22500</v>
      </c>
      <c r="M7" s="10">
        <v>1800</v>
      </c>
      <c r="N7" s="11">
        <v>3</v>
      </c>
      <c r="O7" s="11">
        <v>1</v>
      </c>
      <c r="P7" s="9" t="s">
        <v>37</v>
      </c>
      <c r="Q7" s="12" t="str">
        <f t="shared" ref="Q7:Q18" si="0">IF(A7="","",IF(OR(K7="Available",K7="Pending"),"YES","NO"))</f>
        <v>YES</v>
      </c>
      <c r="R7" s="13" t="str">
        <f t="shared" ref="R7:R18" si="1">IF(A7="","","https://piedmontnational.com/contact/?unit="&amp;A7)</f>
        <v>https://piedmontnational.com/contact/?unit=demo-example-unit</v>
      </c>
    </row>
    <row r="8" spans="1:18" x14ac:dyDescent="0.3">
      <c r="A8" s="14" t="s">
        <v>38</v>
      </c>
      <c r="B8" s="14" t="s">
        <v>39</v>
      </c>
      <c r="C8" s="14" t="s">
        <v>40</v>
      </c>
      <c r="D8" s="14" t="s">
        <v>41</v>
      </c>
      <c r="E8" s="14" t="s">
        <v>42</v>
      </c>
      <c r="F8" s="14" t="s">
        <v>43</v>
      </c>
      <c r="G8" s="14" t="s">
        <v>44</v>
      </c>
      <c r="H8" s="14" t="s">
        <v>62</v>
      </c>
      <c r="I8" s="15" t="s">
        <v>63</v>
      </c>
      <c r="J8" s="14" t="s">
        <v>35</v>
      </c>
      <c r="K8" s="14" t="s">
        <v>36</v>
      </c>
      <c r="L8" s="16">
        <v>60600</v>
      </c>
      <c r="M8" s="16">
        <f>L8/12</f>
        <v>5050</v>
      </c>
      <c r="N8" s="17">
        <v>3</v>
      </c>
      <c r="O8" s="17">
        <v>1</v>
      </c>
      <c r="P8" t="s">
        <v>76</v>
      </c>
      <c r="Q8" s="18" t="str">
        <f t="shared" si="0"/>
        <v>YES</v>
      </c>
      <c r="R8" s="19" t="str">
        <f t="shared" si="1"/>
        <v>https://piedmontnational.com/contact/?unit=texwrap-tls-2219</v>
      </c>
    </row>
    <row r="9" spans="1:18" x14ac:dyDescent="0.3">
      <c r="A9" s="14" t="s">
        <v>64</v>
      </c>
      <c r="B9" s="14" t="s">
        <v>65</v>
      </c>
      <c r="C9" s="14" t="s">
        <v>40</v>
      </c>
      <c r="D9" s="14" t="s">
        <v>41</v>
      </c>
      <c r="E9" s="15" t="s">
        <v>66</v>
      </c>
      <c r="F9" s="14" t="s">
        <v>43</v>
      </c>
      <c r="G9" s="15" t="s">
        <v>67</v>
      </c>
      <c r="H9" s="14" t="s">
        <v>62</v>
      </c>
      <c r="I9" s="15" t="s">
        <v>63</v>
      </c>
      <c r="J9" s="14" t="s">
        <v>35</v>
      </c>
      <c r="K9" s="14" t="s">
        <v>36</v>
      </c>
      <c r="L9" s="16">
        <v>4550</v>
      </c>
      <c r="M9" s="16">
        <f>L9/12</f>
        <v>379.16666666666669</v>
      </c>
      <c r="N9" s="17">
        <v>3</v>
      </c>
      <c r="O9" s="17">
        <v>1</v>
      </c>
      <c r="P9" s="15" t="s">
        <v>77</v>
      </c>
      <c r="Q9" s="18" t="str">
        <f t="shared" si="0"/>
        <v>YES</v>
      </c>
      <c r="R9" s="19" t="str">
        <f t="shared" si="1"/>
        <v>https://piedmontnational.com/contact/?unit=garrido-601-l-bar-sealer</v>
      </c>
    </row>
    <row r="10" spans="1:18" x14ac:dyDescent="0.3">
      <c r="A10" s="14" t="s">
        <v>68</v>
      </c>
      <c r="B10" s="14" t="s">
        <v>69</v>
      </c>
      <c r="C10" s="14" t="s">
        <v>46</v>
      </c>
      <c r="D10" s="14" t="s">
        <v>70</v>
      </c>
      <c r="E10" s="15" t="s">
        <v>71</v>
      </c>
      <c r="F10" s="14" t="s">
        <v>43</v>
      </c>
      <c r="G10" s="15" t="s">
        <v>72</v>
      </c>
      <c r="H10" s="14" t="s">
        <v>73</v>
      </c>
      <c r="I10" s="15" t="s">
        <v>74</v>
      </c>
      <c r="J10" s="14" t="s">
        <v>35</v>
      </c>
      <c r="K10" s="14" t="s">
        <v>36</v>
      </c>
      <c r="L10" s="16">
        <v>27000</v>
      </c>
      <c r="M10" s="16">
        <f>L10/12</f>
        <v>2250</v>
      </c>
      <c r="N10" s="17">
        <v>3</v>
      </c>
      <c r="O10" s="17">
        <v>1</v>
      </c>
      <c r="P10" s="15" t="s">
        <v>75</v>
      </c>
      <c r="Q10" s="18" t="str">
        <f t="shared" si="0"/>
        <v>YES</v>
      </c>
      <c r="R10" s="19" t="str">
        <f t="shared" si="1"/>
        <v>https://piedmontnational.com/contact/?unit=sharp-sx</v>
      </c>
    </row>
    <row r="11" spans="1:18" x14ac:dyDescent="0.3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20"/>
      <c r="M11" s="20"/>
      <c r="N11" s="17"/>
      <c r="O11" s="17"/>
      <c r="P11" s="14"/>
      <c r="Q11" s="21" t="str">
        <f t="shared" si="0"/>
        <v/>
      </c>
      <c r="R11" s="21" t="str">
        <f t="shared" si="1"/>
        <v/>
      </c>
    </row>
    <row r="12" spans="1:18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20"/>
      <c r="M12" s="20"/>
      <c r="N12" s="17"/>
      <c r="O12" s="17"/>
      <c r="P12" s="14"/>
      <c r="Q12" s="21" t="str">
        <f t="shared" si="0"/>
        <v/>
      </c>
      <c r="R12" s="21" t="str">
        <f t="shared" si="1"/>
        <v/>
      </c>
    </row>
    <row r="13" spans="1:18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20"/>
      <c r="M13" s="20"/>
      <c r="N13" s="17"/>
      <c r="O13" s="17"/>
      <c r="P13" s="14"/>
      <c r="Q13" s="21" t="str">
        <f t="shared" si="0"/>
        <v/>
      </c>
      <c r="R13" s="21" t="str">
        <f t="shared" si="1"/>
        <v/>
      </c>
    </row>
    <row r="14" spans="1:18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20"/>
      <c r="M14" s="20"/>
      <c r="N14" s="17"/>
      <c r="O14" s="17"/>
      <c r="P14" s="14"/>
      <c r="Q14" s="21" t="str">
        <f t="shared" si="0"/>
        <v/>
      </c>
      <c r="R14" s="21" t="str">
        <f t="shared" si="1"/>
        <v/>
      </c>
    </row>
    <row r="15" spans="1:18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20"/>
      <c r="M15" s="20"/>
      <c r="N15" s="17"/>
      <c r="O15" s="17"/>
      <c r="P15" s="14"/>
      <c r="Q15" s="21" t="str">
        <f t="shared" si="0"/>
        <v/>
      </c>
      <c r="R15" s="21" t="str">
        <f t="shared" si="1"/>
        <v/>
      </c>
    </row>
    <row r="16" spans="1:18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20"/>
      <c r="M16" s="20"/>
      <c r="N16" s="17"/>
      <c r="O16" s="17"/>
      <c r="P16" s="14"/>
      <c r="Q16" s="21" t="str">
        <f t="shared" si="0"/>
        <v/>
      </c>
      <c r="R16" s="21" t="str">
        <f t="shared" si="1"/>
        <v/>
      </c>
    </row>
    <row r="17" spans="1:18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20"/>
      <c r="M17" s="20"/>
      <c r="N17" s="17"/>
      <c r="O17" s="17"/>
      <c r="P17" s="14"/>
      <c r="Q17" s="21" t="str">
        <f t="shared" si="0"/>
        <v/>
      </c>
      <c r="R17" s="21" t="str">
        <f t="shared" si="1"/>
        <v/>
      </c>
    </row>
    <row r="18" spans="1:18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20"/>
      <c r="M18" s="20"/>
      <c r="N18" s="17"/>
      <c r="O18" s="17"/>
      <c r="P18" s="14"/>
      <c r="Q18" s="21" t="str">
        <f t="shared" si="0"/>
        <v/>
      </c>
      <c r="R18" s="21" t="str">
        <f t="shared" si="1"/>
        <v/>
      </c>
    </row>
  </sheetData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Lists!$A$2:$A$13</xm:f>
          </x14:formula1>
          <x14:formula2>
            <xm:f>0</xm:f>
          </x14:formula2>
          <xm:sqref>C7:C18</xm:sqref>
        </x14:dataValidation>
        <x14:dataValidation type="list" allowBlank="1" xr:uid="{00000000-0002-0000-0000-000001000000}">
          <x14:formula1>
            <xm:f>Lists!$B$2:$B$6</xm:f>
          </x14:formula1>
          <x14:formula2>
            <xm:f>0</xm:f>
          </x14:formula2>
          <xm:sqref>J7:J18</xm:sqref>
        </x14:dataValidation>
        <x14:dataValidation type="list" allowBlank="1" xr:uid="{00000000-0002-0000-0000-000002000000}">
          <x14:formula1>
            <xm:f>Lists!$C$2:$C$5</xm:f>
          </x14:formula1>
          <x14:formula2>
            <xm:f>0</xm:f>
          </x14:formula2>
          <xm:sqref>K7:K18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22" customWidth="1"/>
    <col min="3" max="3" width="16" customWidth="1"/>
  </cols>
  <sheetData>
    <row r="1" spans="1:3" x14ac:dyDescent="0.3">
      <c r="A1" s="22" t="s">
        <v>10</v>
      </c>
      <c r="B1" s="22" t="s">
        <v>17</v>
      </c>
      <c r="C1" s="22" t="s">
        <v>18</v>
      </c>
    </row>
    <row r="2" spans="1:3" x14ac:dyDescent="0.3">
      <c r="A2" s="23" t="s">
        <v>46</v>
      </c>
      <c r="B2" s="23" t="s">
        <v>35</v>
      </c>
      <c r="C2" s="23" t="s">
        <v>36</v>
      </c>
    </row>
    <row r="3" spans="1:3" x14ac:dyDescent="0.3">
      <c r="A3" s="23" t="s">
        <v>47</v>
      </c>
      <c r="B3" s="23" t="s">
        <v>48</v>
      </c>
      <c r="C3" s="23" t="s">
        <v>49</v>
      </c>
    </row>
    <row r="4" spans="1:3" x14ac:dyDescent="0.3">
      <c r="A4" s="23" t="s">
        <v>45</v>
      </c>
      <c r="B4" s="23" t="s">
        <v>50</v>
      </c>
      <c r="C4" s="23" t="s">
        <v>51</v>
      </c>
    </row>
    <row r="5" spans="1:3" x14ac:dyDescent="0.3">
      <c r="A5" s="23" t="s">
        <v>28</v>
      </c>
      <c r="B5" s="23" t="s">
        <v>52</v>
      </c>
      <c r="C5" s="23" t="s">
        <v>53</v>
      </c>
    </row>
    <row r="6" spans="1:3" x14ac:dyDescent="0.3">
      <c r="A6" s="23" t="s">
        <v>54</v>
      </c>
      <c r="B6" s="23" t="s">
        <v>55</v>
      </c>
    </row>
    <row r="7" spans="1:3" x14ac:dyDescent="0.3">
      <c r="A7" s="23" t="s">
        <v>56</v>
      </c>
    </row>
    <row r="8" spans="1:3" x14ac:dyDescent="0.3">
      <c r="A8" s="23" t="s">
        <v>57</v>
      </c>
    </row>
    <row r="9" spans="1:3" x14ac:dyDescent="0.3">
      <c r="A9" s="23" t="s">
        <v>58</v>
      </c>
    </row>
    <row r="10" spans="1:3" x14ac:dyDescent="0.3">
      <c r="A10" s="23" t="s">
        <v>40</v>
      </c>
    </row>
    <row r="11" spans="1:3" x14ac:dyDescent="0.3">
      <c r="A11" s="23" t="s">
        <v>59</v>
      </c>
    </row>
    <row r="12" spans="1:3" x14ac:dyDescent="0.3">
      <c r="A12" s="23" t="s">
        <v>60</v>
      </c>
    </row>
    <row r="13" spans="1:3" x14ac:dyDescent="0.3">
      <c r="A13" s="23" t="s">
        <v>61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Showroom Inventory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 Tantanella</cp:lastModifiedBy>
  <cp:revision>0</cp:revision>
  <dcterms:created xsi:type="dcterms:W3CDTF">2026-08-19T14:27:44Z</dcterms:created>
  <dcterms:modified xsi:type="dcterms:W3CDTF">2026-08-19T18:41:45Z</dcterms:modified>
  <dc:language>en-US</dc:language>
</cp:coreProperties>
</file>